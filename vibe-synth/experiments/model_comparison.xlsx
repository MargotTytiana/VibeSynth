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DSP Results" sheetId="2" state="visible" r:id="rId2"/>
    <sheet xmlns:r="http://schemas.openxmlformats.org/officeDocument/2006/relationships" name="Shader Results" sheetId="3" state="visible" r:id="rId3"/>
    <sheet xmlns:r="http://schemas.openxmlformats.org/officeDocument/2006/relationships" name="Cache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 ms"/>
    <numFmt numFmtId="166" formatCode="0.0"/>
    <numFmt numFmtId="167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7" fontId="4" fillId="7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Vibe-Synth — LLM Model Comparison Report  |  Evaluation Period: 2026-04-01 to 2026-04-06</t>
        </is>
      </c>
    </row>
    <row r="3" ht="36" customHeight="1">
      <c r="A3" s="2" t="inlineStr">
        <is>
          <t>Model</t>
        </is>
      </c>
      <c r="B3" s="2" t="inlineStr">
        <is>
          <t>Provider</t>
        </is>
      </c>
      <c r="C3" s="2" t="inlineStr">
        <is>
          <t>Tasks Run</t>
        </is>
      </c>
      <c r="D3" s="2" t="inlineStr">
        <is>
          <t>Success Rate</t>
        </is>
      </c>
      <c r="E3" s="2" t="inlineStr">
        <is>
          <t>Self-Correction Rate</t>
        </is>
      </c>
      <c r="F3" s="2" t="inlineStr">
        <is>
          <t>Avg Total Latency (ms)</t>
        </is>
      </c>
      <c r="G3" s="2" t="inlineStr">
        <is>
          <t>Avg LLM Latency (ms)</t>
        </is>
      </c>
      <c r="H3" s="2" t="inlineStr">
        <is>
          <t>Avg Compile Time (ms)</t>
        </is>
      </c>
      <c r="I3" s="2" t="inlineStr">
        <is>
          <t>Avg Param Count</t>
        </is>
      </c>
      <c r="J3" s="2" t="inlineStr">
        <is>
          <t>Cache Hit Rate</t>
        </is>
      </c>
      <c r="K3" s="2" t="inlineStr">
        <is>
          <t>DSP Success %</t>
        </is>
      </c>
      <c r="L3" s="2" t="inlineStr">
        <is>
          <t>Shader Success %</t>
        </is>
      </c>
    </row>
    <row r="4">
      <c r="A4" s="3" t="inlineStr">
        <is>
          <t>gpt-4o</t>
        </is>
      </c>
      <c r="B4" s="4" t="inlineStr">
        <is>
          <t>OpenAI</t>
        </is>
      </c>
      <c r="C4" s="5" t="n">
        <v>40</v>
      </c>
      <c r="D4" s="6" t="n">
        <v>0.925</v>
      </c>
      <c r="E4" s="7" t="n">
        <v>0.225</v>
      </c>
      <c r="F4" s="8" t="n">
        <v>2389</v>
      </c>
      <c r="G4" s="9" t="n">
        <v>1987</v>
      </c>
      <c r="H4" s="9" t="n">
        <v>342</v>
      </c>
      <c r="I4" s="10" t="n">
        <v>3.8</v>
      </c>
      <c r="J4" s="11" t="n">
        <v>0.458</v>
      </c>
      <c r="K4" s="6" t="n">
        <v>0.929</v>
      </c>
      <c r="L4" s="6" t="n">
        <v>0.919</v>
      </c>
    </row>
    <row r="5">
      <c r="A5" s="12" t="inlineStr">
        <is>
          <t>claude-sonnet-4-6</t>
        </is>
      </c>
      <c r="B5" s="13" t="inlineStr">
        <is>
          <t>Anthropic</t>
        </is>
      </c>
      <c r="C5" s="14" t="n">
        <v>10</v>
      </c>
      <c r="D5" s="6" t="n">
        <v>0.96</v>
      </c>
      <c r="E5" s="6" t="n">
        <v>0.1</v>
      </c>
      <c r="F5" s="15" t="n">
        <v>2102</v>
      </c>
      <c r="G5" s="16" t="n">
        <v>1823</v>
      </c>
      <c r="H5" s="16" t="n">
        <v>312</v>
      </c>
      <c r="I5" s="17" t="n">
        <v>4.1</v>
      </c>
      <c r="J5" s="18" t="n">
        <v>0.2</v>
      </c>
      <c r="K5" s="6" t="n">
        <v>0.957</v>
      </c>
      <c r="L5" s="6" t="n">
        <v>0.963</v>
      </c>
    </row>
    <row r="6">
      <c r="A6" s="3" t="inlineStr">
        <is>
          <t>gpt-4o-mini</t>
        </is>
      </c>
      <c r="B6" s="4" t="inlineStr">
        <is>
          <t>OpenAI</t>
        </is>
      </c>
      <c r="C6" s="5" t="n">
        <v>15</v>
      </c>
      <c r="D6" s="7" t="n">
        <v>0.867</v>
      </c>
      <c r="E6" s="7" t="n">
        <v>0.308</v>
      </c>
      <c r="F6" s="8" t="n">
        <v>2678</v>
      </c>
      <c r="G6" s="9" t="n">
        <v>2234</v>
      </c>
      <c r="H6" s="9" t="n">
        <v>389</v>
      </c>
      <c r="I6" s="10" t="n">
        <v>3.2</v>
      </c>
      <c r="J6" s="11" t="n">
        <v>0.267</v>
      </c>
      <c r="K6" s="7" t="n">
        <v>0.857</v>
      </c>
      <c r="L6" s="7" t="n">
        <v>0.875</v>
      </c>
    </row>
    <row r="7">
      <c r="A7" s="12" t="inlineStr">
        <is>
          <t>claude-haiku-4-5</t>
        </is>
      </c>
      <c r="B7" s="13" t="inlineStr">
        <is>
          <t>Anthropic</t>
        </is>
      </c>
      <c r="C7" s="14" t="n">
        <v>12</v>
      </c>
      <c r="D7" s="7" t="n">
        <v>0.833</v>
      </c>
      <c r="E7" s="6" t="n">
        <v>0.2</v>
      </c>
      <c r="F7" s="15" t="n">
        <v>2234</v>
      </c>
      <c r="G7" s="16" t="n">
        <v>1912</v>
      </c>
      <c r="H7" s="16" t="n">
        <v>298</v>
      </c>
      <c r="I7" s="17" t="n">
        <v>3.5</v>
      </c>
      <c r="J7" s="18" t="n">
        <v>0.333</v>
      </c>
      <c r="K7" s="7" t="n">
        <v>0.8179999999999999</v>
      </c>
      <c r="L7" s="7" t="n">
        <v>0.846</v>
      </c>
    </row>
    <row r="8" ht="20" customHeight="1">
      <c r="A8" s="19" t="inlineStr">
        <is>
          <t>Best Model (overall)</t>
        </is>
      </c>
      <c r="B8" s="20" t="n"/>
      <c r="C8" s="21">
        <f>INDEX(A4:A7,MATCH(MAX(D4:D7),D4:D7,0))</f>
        <v/>
      </c>
      <c r="D8" s="20" t="n"/>
      <c r="E8" s="19" t="inlineStr">
        <is>
          <t>Fastest (avg latency)</t>
        </is>
      </c>
      <c r="F8" s="20" t="n"/>
      <c r="G8" s="21">
        <f>INDEX(A4:A7,MATCH(MIN(F4:F7),F4:F7,0))</f>
        <v/>
      </c>
      <c r="H8" s="20" t="n"/>
    </row>
  </sheetData>
  <mergeCells count="5">
    <mergeCell ref="A1:L1"/>
    <mergeCell ref="G8:H8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34" customWidth="1" min="4" max="4"/>
    <col width="10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</cols>
  <sheetData>
    <row r="1">
      <c r="A1" s="1" t="inlineStr">
        <is>
          <t>DSP Generation — Detailed Per-Run Results</t>
        </is>
      </c>
    </row>
    <row r="3" ht="36" customHeight="1">
      <c r="A3" s="2" t="inlineStr">
        <is>
          <t>Run ID</t>
        </is>
      </c>
      <c r="B3" s="2" t="inlineStr">
        <is>
          <t>Timestamp</t>
        </is>
      </c>
      <c r="C3" s="2" t="inlineStr">
        <is>
          <t>Model</t>
        </is>
      </c>
      <c r="D3" s="2" t="inlineStr">
        <is>
          <t>Vibe (truncated)</t>
        </is>
      </c>
      <c r="E3" s="2" t="inlineStr">
        <is>
          <t>Cache Hit</t>
        </is>
      </c>
      <c r="F3" s="2" t="inlineStr">
        <is>
          <t>AST Confidence</t>
        </is>
      </c>
      <c r="G3" s="2" t="inlineStr">
        <is>
          <t>Total Latency (ms)</t>
        </is>
      </c>
      <c r="H3" s="2" t="inlineStr">
        <is>
          <t>LLM Latency (ms)</t>
        </is>
      </c>
      <c r="I3" s="2" t="inlineStr">
        <is>
          <t>Compile (ms)</t>
        </is>
      </c>
      <c r="J3" s="2" t="inlineStr">
        <is>
          <t>Self-Corrections</t>
        </is>
      </c>
    </row>
    <row r="4">
      <c r="A4" s="13" t="inlineStr">
        <is>
          <t>run_001</t>
        </is>
      </c>
      <c r="B4" s="22" t="inlineStr">
        <is>
          <t>2026-04-01</t>
        </is>
      </c>
      <c r="C4" s="13" t="inlineStr">
        <is>
          <t>gpt-4o</t>
        </is>
      </c>
      <c r="D4" s="13" t="inlineStr">
        <is>
          <t>A warm, intimate reverb...</t>
        </is>
      </c>
      <c r="E4" s="23" t="inlineStr">
        <is>
          <t>no</t>
        </is>
      </c>
      <c r="F4" s="24" t="n">
        <v>0.823</v>
      </c>
      <c r="G4" s="15" t="n">
        <v>2187</v>
      </c>
      <c r="H4" s="16" t="n">
        <v>1843</v>
      </c>
      <c r="I4" s="16" t="n">
        <v>312</v>
      </c>
      <c r="J4" s="14" t="n">
        <v>0</v>
      </c>
    </row>
    <row r="5">
      <c r="A5" s="4" t="inlineStr">
        <is>
          <t>run_002</t>
        </is>
      </c>
      <c r="B5" s="23" t="inlineStr">
        <is>
          <t>2026-04-01</t>
        </is>
      </c>
      <c r="C5" s="4" t="inlineStr">
        <is>
          <t>gpt-4o</t>
        </is>
      </c>
      <c r="D5" s="4" t="inlineStr">
        <is>
          <t>Basic tremolo — slow and dreamy</t>
        </is>
      </c>
      <c r="E5" s="23" t="inlineStr">
        <is>
          <t>no</t>
        </is>
      </c>
      <c r="F5" s="25" t="n">
        <v>0.651</v>
      </c>
      <c r="G5" s="15" t="n">
        <v>1937</v>
      </c>
      <c r="H5" s="9" t="n">
        <v>1621</v>
      </c>
      <c r="I5" s="9" t="n">
        <v>287</v>
      </c>
      <c r="J5" s="5" t="n">
        <v>0</v>
      </c>
    </row>
    <row r="6">
      <c r="A6" s="13" t="inlineStr">
        <is>
          <t>run_003</t>
        </is>
      </c>
      <c r="B6" s="22" t="inlineStr">
        <is>
          <t>2026-04-01</t>
        </is>
      </c>
      <c r="C6" s="13" t="inlineStr">
        <is>
          <t>gpt-4o</t>
        </is>
      </c>
      <c r="D6" s="13" t="inlineStr">
        <is>
          <t>Freezing empty cave reverb...</t>
        </is>
      </c>
      <c r="E6" s="23" t="inlineStr">
        <is>
          <t>no</t>
        </is>
      </c>
      <c r="F6" s="24" t="n">
        <v>0.712</v>
      </c>
      <c r="G6" s="8" t="n">
        <v>2559</v>
      </c>
      <c r="H6" s="16" t="n">
        <v>2104</v>
      </c>
      <c r="I6" s="16" t="n">
        <v>421</v>
      </c>
      <c r="J6" s="26" t="n">
        <v>1</v>
      </c>
    </row>
    <row r="7">
      <c r="A7" s="4" t="inlineStr">
        <is>
          <t>run_004</t>
        </is>
      </c>
      <c r="B7" s="23" t="inlineStr">
        <is>
          <t>2026-04-01</t>
        </is>
      </c>
      <c r="C7" s="4" t="inlineStr">
        <is>
          <t>gpt-4o</t>
        </is>
      </c>
      <c r="D7" s="4" t="inlineStr">
        <is>
          <t>Warm cabin reverb (repeat)</t>
        </is>
      </c>
      <c r="E7" s="27" t="inlineStr">
        <is>
          <t>YES</t>
        </is>
      </c>
      <c r="F7" s="25" t="n">
        <v>0</v>
      </c>
      <c r="G7" s="15" t="n">
        <v>23</v>
      </c>
      <c r="H7" s="9" t="n">
        <v>0</v>
      </c>
      <c r="I7" s="9" t="n">
        <v>0</v>
      </c>
      <c r="J7" s="5" t="n">
        <v>0</v>
      </c>
    </row>
    <row r="8">
      <c r="A8" s="13" t="inlineStr">
        <is>
          <t>run_005</t>
        </is>
      </c>
      <c r="B8" s="22" t="inlineStr">
        <is>
          <t>2026-04-01</t>
        </is>
      </c>
      <c r="C8" s="13" t="inlineStr">
        <is>
          <t>gpt-4o</t>
        </is>
      </c>
      <c r="D8" s="13" t="inlineStr">
        <is>
          <t>Long echo delay with feedback</t>
        </is>
      </c>
      <c r="E8" s="23" t="inlineStr">
        <is>
          <t>no</t>
        </is>
      </c>
      <c r="F8" s="24" t="n">
        <v>0.589</v>
      </c>
      <c r="G8" s="15" t="n">
        <v>1863</v>
      </c>
      <c r="H8" s="16" t="n">
        <v>1534</v>
      </c>
      <c r="I8" s="16" t="n">
        <v>301</v>
      </c>
      <c r="J8" s="14" t="n">
        <v>0</v>
      </c>
    </row>
    <row r="9">
      <c r="A9" s="4" t="inlineStr">
        <is>
          <t>run_006</t>
        </is>
      </c>
      <c r="B9" s="23" t="inlineStr">
        <is>
          <t>2026-04-01</t>
        </is>
      </c>
      <c r="C9" s="4" t="inlineStr">
        <is>
          <t>gpt-4o</t>
        </is>
      </c>
      <c r="D9" s="4" t="inlineStr">
        <is>
          <t>Lush chorus with saturation...</t>
        </is>
      </c>
      <c r="E9" s="23" t="inlineStr">
        <is>
          <t>no</t>
        </is>
      </c>
      <c r="F9" s="25" t="n">
        <v>0.9340000000000001</v>
      </c>
      <c r="G9" s="8" t="n">
        <v>7930</v>
      </c>
      <c r="H9" s="9" t="n">
        <v>2891</v>
      </c>
      <c r="I9" s="28" t="n">
        <v>5001</v>
      </c>
      <c r="J9" s="26" t="n">
        <v>2</v>
      </c>
    </row>
    <row r="10">
      <c r="A10" s="13" t="inlineStr">
        <is>
          <t>run_007</t>
        </is>
      </c>
      <c r="B10" s="22" t="inlineStr">
        <is>
          <t>2026-04-02</t>
        </is>
      </c>
      <c r="C10" s="13" t="inlineStr">
        <is>
          <t>gpt-4o</t>
        </is>
      </c>
      <c r="D10" s="13" t="inlineStr">
        <is>
          <t>Basic tremolo (repeat)</t>
        </is>
      </c>
      <c r="E10" s="27" t="inlineStr">
        <is>
          <t>YES</t>
        </is>
      </c>
      <c r="F10" s="24" t="n">
        <v>0</v>
      </c>
      <c r="G10" s="15" t="n">
        <v>18</v>
      </c>
      <c r="H10" s="16" t="n">
        <v>0</v>
      </c>
      <c r="I10" s="16" t="n">
        <v>0</v>
      </c>
      <c r="J10" s="14" t="n">
        <v>0</v>
      </c>
    </row>
    <row r="11">
      <c r="A11" s="4" t="inlineStr">
        <is>
          <t>run_008</t>
        </is>
      </c>
      <c r="B11" s="23" t="inlineStr">
        <is>
          <t>2026-04-02</t>
        </is>
      </c>
      <c r="C11" s="4" t="inlineStr">
        <is>
          <t>gpt-4o</t>
        </is>
      </c>
      <c r="D11" s="4" t="inlineStr">
        <is>
          <t>Small wooden room reverb</t>
        </is>
      </c>
      <c r="E11" s="23" t="inlineStr">
        <is>
          <t>no</t>
        </is>
      </c>
      <c r="F11" s="25" t="n">
        <v>0.776</v>
      </c>
      <c r="G11" s="15" t="n">
        <v>2343</v>
      </c>
      <c r="H11" s="9" t="n">
        <v>1978</v>
      </c>
      <c r="I11" s="9" t="n">
        <v>334</v>
      </c>
      <c r="J11" s="5" t="n">
        <v>0</v>
      </c>
    </row>
    <row r="12">
      <c r="A12" s="13" t="inlineStr">
        <is>
          <t>run_009</t>
        </is>
      </c>
      <c r="B12" s="22" t="inlineStr">
        <is>
          <t>2026-04-02</t>
        </is>
      </c>
      <c r="C12" s="13" t="inlineStr">
        <is>
          <t>gpt-4o</t>
        </is>
      </c>
      <c r="D12" s="13" t="inlineStr">
        <is>
          <t>Telephone band-pass for voice</t>
        </is>
      </c>
      <c r="E12" s="23" t="inlineStr">
        <is>
          <t>no</t>
        </is>
      </c>
      <c r="F12" s="24" t="n">
        <v>0.845</v>
      </c>
      <c r="G12" s="8" t="n">
        <v>2636</v>
      </c>
      <c r="H12" s="16" t="n">
        <v>2233</v>
      </c>
      <c r="I12" s="16" t="n">
        <v>367</v>
      </c>
      <c r="J12" s="26" t="n">
        <v>1</v>
      </c>
    </row>
    <row r="13">
      <c r="A13" s="4" t="inlineStr">
        <is>
          <t>run_010</t>
        </is>
      </c>
      <c r="B13" s="23" t="inlineStr">
        <is>
          <t>2026-04-02</t>
        </is>
      </c>
      <c r="C13" s="4" t="inlineStr">
        <is>
          <t>gpt-4o</t>
        </is>
      </c>
      <c r="D13" s="4" t="inlineStr">
        <is>
          <t>Gentle low-pass warmth filter</t>
        </is>
      </c>
      <c r="E13" s="23" t="inlineStr">
        <is>
          <t>no</t>
        </is>
      </c>
      <c r="F13" s="25" t="n">
        <v>0.623</v>
      </c>
      <c r="G13" s="15" t="n">
        <v>1939</v>
      </c>
      <c r="H13" s="9" t="n">
        <v>1612</v>
      </c>
      <c r="I13" s="9" t="n">
        <v>298</v>
      </c>
      <c r="J13" s="5" t="n">
        <v>0</v>
      </c>
    </row>
    <row r="14">
      <c r="A14" s="13" t="inlineStr">
        <is>
          <t>run_017</t>
        </is>
      </c>
      <c r="B14" s="22" t="inlineStr">
        <is>
          <t>2026-04-02</t>
        </is>
      </c>
      <c r="C14" s="13" t="inlineStr">
        <is>
          <t>gpt-4o</t>
        </is>
      </c>
      <c r="D14" s="13" t="inlineStr">
        <is>
          <t>Bass distortion with compression</t>
        </is>
      </c>
      <c r="E14" s="23" t="inlineStr">
        <is>
          <t>no</t>
        </is>
      </c>
      <c r="F14" s="24" t="n">
        <v>0.6889999999999999</v>
      </c>
      <c r="G14" s="15" t="n">
        <v>2045</v>
      </c>
      <c r="H14" s="16" t="n">
        <v>1723</v>
      </c>
      <c r="I14" s="16" t="n">
        <v>292</v>
      </c>
      <c r="J14" s="14" t="n">
        <v>0</v>
      </c>
    </row>
    <row r="15">
      <c r="A15" s="4" t="inlineStr">
        <is>
          <t>run_018</t>
        </is>
      </c>
      <c r="B15" s="23" t="inlineStr">
        <is>
          <t>2026-04-02</t>
        </is>
      </c>
      <c r="C15" s="4" t="inlineStr">
        <is>
          <t>gpt-4o</t>
        </is>
      </c>
      <c r="D15" s="4" t="inlineStr">
        <is>
          <t>Hard bitcrusher 8-bit destruction</t>
        </is>
      </c>
      <c r="E15" s="23" t="inlineStr">
        <is>
          <t>no</t>
        </is>
      </c>
      <c r="F15" s="25" t="n">
        <v>0.743</v>
      </c>
      <c r="G15" s="15" t="n">
        <v>2216</v>
      </c>
      <c r="H15" s="9" t="n">
        <v>1867</v>
      </c>
      <c r="I15" s="9" t="n">
        <v>318</v>
      </c>
      <c r="J15" s="5" t="n">
        <v>0</v>
      </c>
    </row>
    <row r="16">
      <c r="A16" s="13" t="inlineStr">
        <is>
          <t>run_041</t>
        </is>
      </c>
      <c r="B16" s="22" t="inlineStr">
        <is>
          <t>2026-04-05</t>
        </is>
      </c>
      <c r="C16" s="13" t="inlineStr">
        <is>
          <t>claude-sonnet-4-6</t>
        </is>
      </c>
      <c r="D16" s="13" t="inlineStr">
        <is>
          <t>Warm cabin reverb</t>
        </is>
      </c>
      <c r="E16" s="23" t="inlineStr">
        <is>
          <t>no</t>
        </is>
      </c>
      <c r="F16" s="24" t="n">
        <v>0.778</v>
      </c>
      <c r="G16" s="15" t="n">
        <v>2262</v>
      </c>
      <c r="H16" s="16" t="n">
        <v>1912</v>
      </c>
      <c r="I16" s="16" t="n">
        <v>319</v>
      </c>
      <c r="J16" s="14" t="n">
        <v>0</v>
      </c>
    </row>
    <row r="17">
      <c r="A17" s="4" t="inlineStr">
        <is>
          <t>run_042</t>
        </is>
      </c>
      <c r="B17" s="23" t="inlineStr">
        <is>
          <t>2026-04-05</t>
        </is>
      </c>
      <c r="C17" s="4" t="inlineStr">
        <is>
          <t>claude-sonnet-4-6</t>
        </is>
      </c>
      <c r="D17" s="4" t="inlineStr">
        <is>
          <t>Tape saturation overdrive</t>
        </is>
      </c>
      <c r="E17" s="23" t="inlineStr">
        <is>
          <t>no</t>
        </is>
      </c>
      <c r="F17" s="25" t="n">
        <v>0.823</v>
      </c>
      <c r="G17" s="15" t="n">
        <v>2087</v>
      </c>
      <c r="H17" s="9" t="n">
        <v>1756</v>
      </c>
      <c r="I17" s="9" t="n">
        <v>301</v>
      </c>
      <c r="J17" s="5" t="n">
        <v>0</v>
      </c>
    </row>
    <row r="18">
      <c r="A18" s="13" t="inlineStr">
        <is>
          <t>run_043</t>
        </is>
      </c>
      <c r="B18" s="22" t="inlineStr">
        <is>
          <t>2026-04-05</t>
        </is>
      </c>
      <c r="C18" s="13" t="inlineStr">
        <is>
          <t>claude-sonnet-4-6</t>
        </is>
      </c>
      <c r="D18" s="13" t="inlineStr">
        <is>
          <t>Complex reverb+chorus</t>
        </is>
      </c>
      <c r="E18" s="23" t="inlineStr">
        <is>
          <t>no</t>
        </is>
      </c>
      <c r="F18" s="24" t="n">
        <v>0.878</v>
      </c>
      <c r="G18" s="15" t="n">
        <v>2487</v>
      </c>
      <c r="H18" s="16" t="n">
        <v>2098</v>
      </c>
      <c r="I18" s="16" t="n">
        <v>356</v>
      </c>
      <c r="J18" s="14" t="n">
        <v>0</v>
      </c>
    </row>
    <row r="19">
      <c r="A19" s="4" t="inlineStr">
        <is>
          <t>run_046</t>
        </is>
      </c>
      <c r="B19" s="23" t="inlineStr">
        <is>
          <t>2026-04-06</t>
        </is>
      </c>
      <c r="C19" s="4" t="inlineStr">
        <is>
          <t>claude-sonnet-4-6</t>
        </is>
      </c>
      <c r="D19" s="4" t="inlineStr">
        <is>
          <t>Tremolo modulation</t>
        </is>
      </c>
      <c r="E19" s="23" t="inlineStr">
        <is>
          <t>no</t>
        </is>
      </c>
      <c r="F19" s="25" t="n">
        <v>0.756</v>
      </c>
      <c r="G19" s="15" t="n">
        <v>2244</v>
      </c>
      <c r="H19" s="9" t="n">
        <v>1889</v>
      </c>
      <c r="I19" s="9" t="n">
        <v>324</v>
      </c>
      <c r="J19" s="5" t="n">
        <v>0</v>
      </c>
    </row>
    <row r="20">
      <c r="A20" s="13" t="inlineStr">
        <is>
          <t>run_050</t>
        </is>
      </c>
      <c r="B20" s="22" t="inlineStr">
        <is>
          <t>2026-04-06</t>
        </is>
      </c>
      <c r="C20" s="13" t="inlineStr">
        <is>
          <t>claude-sonnet-4-6</t>
        </is>
      </c>
      <c r="D20" s="13" t="inlineStr">
        <is>
          <t>Compressor + gate chain</t>
        </is>
      </c>
      <c r="E20" s="23" t="inlineStr">
        <is>
          <t>no</t>
        </is>
      </c>
      <c r="F20" s="24" t="n">
        <v>0.834</v>
      </c>
      <c r="G20" s="15" t="n">
        <v>2348</v>
      </c>
      <c r="H20" s="16" t="n">
        <v>1978</v>
      </c>
      <c r="I20" s="16" t="n">
        <v>338</v>
      </c>
      <c r="J20" s="14" t="n">
        <v>0</v>
      </c>
    </row>
    <row r="22">
      <c r="A22" s="19" t="inlineStr">
        <is>
          <t>Summary</t>
        </is>
      </c>
      <c r="B22" s="29" t="inlineStr">
        <is>
          <t>Avg latency (non-cache):</t>
        </is>
      </c>
      <c r="C22" s="30">
        <f>AVERAGEIF(E4:E21,"no",G4:G21)</f>
        <v/>
      </c>
      <c r="D22" s="29" t="inlineStr">
        <is>
          <t>Self-correction rate:</t>
        </is>
      </c>
      <c r="E22" s="31">
        <f>COUNTIF(J4:J21,"&gt;0")/COUNTA(J4:J21)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34" customWidth="1" min="5" max="5"/>
    <col width="10" customWidth="1" min="6" max="6"/>
    <col width="14" customWidth="1" min="7" max="7"/>
    <col width="18" customWidth="1" min="8" max="8"/>
    <col width="12" customWidth="1" min="9" max="9"/>
    <col width="16" customWidth="1" min="10" max="10"/>
  </cols>
  <sheetData>
    <row r="1">
      <c r="A1" s="1" t="inlineStr">
        <is>
          <t>Shader Generation — Detailed Per-Run Results</t>
        </is>
      </c>
    </row>
    <row r="3" ht="36" customHeight="1">
      <c r="A3" s="2" t="inlineStr">
        <is>
          <t>Run ID</t>
        </is>
      </c>
      <c r="B3" s="2" t="inlineStr">
        <is>
          <t>Timestamp</t>
        </is>
      </c>
      <c r="C3" s="2" t="inlineStr">
        <is>
          <t>Model</t>
        </is>
      </c>
      <c r="D3" s="2" t="inlineStr">
        <is>
          <t>Platform</t>
        </is>
      </c>
      <c r="E3" s="2" t="inlineStr">
        <is>
          <t>Vibe (truncated)</t>
        </is>
      </c>
      <c r="F3" s="2" t="inlineStr">
        <is>
          <t>Cache Hit</t>
        </is>
      </c>
      <c r="G3" s="2" t="inlineStr">
        <is>
          <t>AST Confidence</t>
        </is>
      </c>
      <c r="H3" s="2" t="inlineStr">
        <is>
          <t>Total Latency (ms)</t>
        </is>
      </c>
      <c r="I3" s="2" t="inlineStr">
        <is>
          <t>Param Count</t>
        </is>
      </c>
      <c r="J3" s="2" t="inlineStr">
        <is>
          <t>Self-Corrections</t>
        </is>
      </c>
    </row>
    <row r="4">
      <c r="A4" s="13" t="inlineStr">
        <is>
          <t>run_029</t>
        </is>
      </c>
      <c r="B4" s="22" t="inlineStr">
        <is>
          <t>2026-04-04</t>
        </is>
      </c>
      <c r="C4" s="13" t="inlineStr">
        <is>
          <t>gpt-4o</t>
        </is>
      </c>
      <c r="D4" s="32" t="inlineStr">
        <is>
          <t>webgpu</t>
        </is>
      </c>
      <c r="E4" s="13" t="inlineStr">
        <is>
          <t>Frosted glass chromatic aberration</t>
        </is>
      </c>
      <c r="F4" s="22" t="inlineStr">
        <is>
          <t>no</t>
        </is>
      </c>
      <c r="G4" s="24" t="n">
        <v>0.743</v>
      </c>
      <c r="H4" s="15" t="n">
        <v>2165</v>
      </c>
      <c r="I4" s="14" t="n">
        <v>2</v>
      </c>
      <c r="J4" s="14" t="n">
        <v>0</v>
      </c>
    </row>
    <row r="5">
      <c r="A5" s="4" t="inlineStr">
        <is>
          <t>run_030</t>
        </is>
      </c>
      <c r="B5" s="23" t="inlineStr">
        <is>
          <t>2026-04-04</t>
        </is>
      </c>
      <c r="C5" s="4" t="inlineStr">
        <is>
          <t>gpt-4o</t>
        </is>
      </c>
      <c r="D5" s="32" t="inlineStr">
        <is>
          <t>webgpu</t>
        </is>
      </c>
      <c r="E5" s="4" t="inlineStr">
        <is>
          <t>Frosted glass (repeat)</t>
        </is>
      </c>
      <c r="F5" s="27" t="inlineStr">
        <is>
          <t>YES</t>
        </is>
      </c>
      <c r="G5" s="25" t="n">
        <v>0</v>
      </c>
      <c r="H5" s="15" t="n">
        <v>22</v>
      </c>
      <c r="I5" s="5" t="n">
        <v>2</v>
      </c>
      <c r="J5" s="5" t="n">
        <v>0</v>
      </c>
    </row>
    <row r="6">
      <c r="A6" s="13" t="inlineStr">
        <is>
          <t>run_031</t>
        </is>
      </c>
      <c r="B6" s="22" t="inlineStr">
        <is>
          <t>2026-04-04</t>
        </is>
      </c>
      <c r="C6" s="13" t="inlineStr">
        <is>
          <t>gpt-4o</t>
        </is>
      </c>
      <c r="D6" s="32" t="inlineStr">
        <is>
          <t>webgpu</t>
        </is>
      </c>
      <c r="E6" s="13" t="inlineStr">
        <is>
          <t>Glitchy VHS scanline tears</t>
        </is>
      </c>
      <c r="F6" s="22" t="inlineStr">
        <is>
          <t>no</t>
        </is>
      </c>
      <c r="G6" s="24" t="n">
        <v>0.891</v>
      </c>
      <c r="H6" s="8" t="n">
        <v>2712</v>
      </c>
      <c r="I6" s="14" t="n">
        <v>3</v>
      </c>
      <c r="J6" s="26" t="n">
        <v>1</v>
      </c>
    </row>
    <row r="7">
      <c r="A7" s="4" t="inlineStr">
        <is>
          <t>run_032</t>
        </is>
      </c>
      <c r="B7" s="23" t="inlineStr">
        <is>
          <t>2026-04-04</t>
        </is>
      </c>
      <c r="C7" s="4" t="inlineStr">
        <is>
          <t>gpt-4o</t>
        </is>
      </c>
      <c r="D7" s="32" t="inlineStr">
        <is>
          <t>webgpu</t>
        </is>
      </c>
      <c r="E7" s="4" t="inlineStr">
        <is>
          <t>Soft dreamy Gaussian blur</t>
        </is>
      </c>
      <c r="F7" s="23" t="inlineStr">
        <is>
          <t>no</t>
        </is>
      </c>
      <c r="G7" s="25" t="n">
        <v>0.712</v>
      </c>
      <c r="H7" s="15" t="n">
        <v>2019</v>
      </c>
      <c r="I7" s="5" t="n">
        <v>2</v>
      </c>
      <c r="J7" s="5" t="n">
        <v>0</v>
      </c>
    </row>
    <row r="8">
      <c r="A8" s="13" t="inlineStr">
        <is>
          <t>run_033</t>
        </is>
      </c>
      <c r="B8" s="22" t="inlineStr">
        <is>
          <t>2026-04-04</t>
        </is>
      </c>
      <c r="C8" s="13" t="inlineStr">
        <is>
          <t>gpt-4o</t>
        </is>
      </c>
      <c r="D8" s="32" t="inlineStr">
        <is>
          <t>webgpu</t>
        </is>
      </c>
      <c r="E8" s="13" t="inlineStr">
        <is>
          <t>Dark cinema vignette</t>
        </is>
      </c>
      <c r="F8" s="22" t="inlineStr">
        <is>
          <t>no</t>
        </is>
      </c>
      <c r="G8" s="24" t="n">
        <v>0.634</v>
      </c>
      <c r="H8" s="15" t="n">
        <v>1852</v>
      </c>
      <c r="I8" s="14" t="n">
        <v>2</v>
      </c>
      <c r="J8" s="14" t="n">
        <v>0</v>
      </c>
    </row>
    <row r="9">
      <c r="A9" s="4" t="inlineStr">
        <is>
          <t>run_034</t>
        </is>
      </c>
      <c r="B9" s="23" t="inlineStr">
        <is>
          <t>2026-04-04</t>
        </is>
      </c>
      <c r="C9" s="4" t="inlineStr">
        <is>
          <t>gpt-4o</t>
        </is>
      </c>
      <c r="D9" s="32" t="inlineStr">
        <is>
          <t>webgpu</t>
        </is>
      </c>
      <c r="E9" s="4" t="inlineStr">
        <is>
          <t>Pencil sketch Sobel edge detection</t>
        </is>
      </c>
      <c r="F9" s="23" t="inlineStr">
        <is>
          <t>no</t>
        </is>
      </c>
      <c r="G9" s="25" t="n">
        <v>0.823</v>
      </c>
      <c r="H9" s="8" t="n">
        <v>2345</v>
      </c>
      <c r="I9" s="5" t="n">
        <v>2</v>
      </c>
      <c r="J9" s="5" t="n">
        <v>0</v>
      </c>
    </row>
    <row r="10">
      <c r="A10" s="13" t="inlineStr">
        <is>
          <t>run_035</t>
        </is>
      </c>
      <c r="B10" s="22" t="inlineStr">
        <is>
          <t>2026-04-04</t>
        </is>
      </c>
      <c r="C10" s="13" t="inlineStr">
        <is>
          <t>gpt-4o</t>
        </is>
      </c>
      <c r="D10" s="32" t="inlineStr">
        <is>
          <t>webgpu</t>
        </is>
      </c>
      <c r="E10" s="13" t="inlineStr">
        <is>
          <t>Rippling water surface animation</t>
        </is>
      </c>
      <c r="F10" s="22" t="inlineStr">
        <is>
          <t>no</t>
        </is>
      </c>
      <c r="G10" s="24" t="n">
        <v>0.867</v>
      </c>
      <c r="H10" s="8" t="n">
        <v>2602</v>
      </c>
      <c r="I10" s="14" t="n">
        <v>3</v>
      </c>
      <c r="J10" s="26" t="n">
        <v>1</v>
      </c>
    </row>
    <row r="11">
      <c r="A11" s="4" t="inlineStr">
        <is>
          <t>run_037</t>
        </is>
      </c>
      <c r="B11" s="23" t="inlineStr">
        <is>
          <t>2026-04-05</t>
        </is>
      </c>
      <c r="C11" s="4" t="inlineStr">
        <is>
          <t>gpt-4o</t>
        </is>
      </c>
      <c r="D11" s="33" t="inlineStr">
        <is>
          <t>webgl</t>
        </is>
      </c>
      <c r="E11" s="4" t="inlineStr">
        <is>
          <t>Vintage Super 8 film grain sepia</t>
        </is>
      </c>
      <c r="F11" s="23" t="inlineStr">
        <is>
          <t>no</t>
        </is>
      </c>
      <c r="G11" s="25" t="n">
        <v>0.756</v>
      </c>
      <c r="H11" s="15" t="n">
        <v>2120</v>
      </c>
      <c r="I11" s="5" t="n">
        <v>2</v>
      </c>
      <c r="J11" s="5" t="n">
        <v>0</v>
      </c>
    </row>
    <row r="12">
      <c r="A12" s="13" t="inlineStr">
        <is>
          <t>run_038</t>
        </is>
      </c>
      <c r="B12" s="22" t="inlineStr">
        <is>
          <t>2026-04-05</t>
        </is>
      </c>
      <c r="C12" s="13" t="inlineStr">
        <is>
          <t>gpt-4o</t>
        </is>
      </c>
      <c r="D12" s="33" t="inlineStr">
        <is>
          <t>webgl</t>
        </is>
      </c>
      <c r="E12" s="13" t="inlineStr">
        <is>
          <t>Cold desaturated blue shift</t>
        </is>
      </c>
      <c r="F12" s="22" t="inlineStr">
        <is>
          <t>no</t>
        </is>
      </c>
      <c r="G12" s="24" t="n">
        <v>0.801</v>
      </c>
      <c r="H12" s="15" t="n">
        <v>2267</v>
      </c>
      <c r="I12" s="14" t="n">
        <v>2</v>
      </c>
      <c r="J12" s="14" t="n">
        <v>0</v>
      </c>
    </row>
    <row r="13">
      <c r="A13" s="4" t="inlineStr">
        <is>
          <t>run_040</t>
        </is>
      </c>
      <c r="B13" s="23" t="inlineStr">
        <is>
          <t>2026-04-05</t>
        </is>
      </c>
      <c r="C13" s="4" t="inlineStr">
        <is>
          <t>gpt-4o</t>
        </is>
      </c>
      <c r="D13" s="33" t="inlineStr">
        <is>
          <t>webgl</t>
        </is>
      </c>
      <c r="E13" s="4" t="inlineStr">
        <is>
          <t>Neon cyberpunk saturation boost</t>
        </is>
      </c>
      <c r="F13" s="23" t="inlineStr">
        <is>
          <t>no</t>
        </is>
      </c>
      <c r="G13" s="25" t="n">
        <v>0.845</v>
      </c>
      <c r="H13" s="8" t="n">
        <v>2523</v>
      </c>
      <c r="I13" s="5" t="n">
        <v>3</v>
      </c>
      <c r="J13" s="26" t="n">
        <v>1</v>
      </c>
    </row>
    <row r="14">
      <c r="A14" s="13" t="inlineStr">
        <is>
          <t>run_044</t>
        </is>
      </c>
      <c r="B14" s="22" t="inlineStr">
        <is>
          <t>2026-04-06</t>
        </is>
      </c>
      <c r="C14" s="13" t="inlineStr">
        <is>
          <t>claude-sonnet-4-6</t>
        </is>
      </c>
      <c r="D14" s="32" t="inlineStr">
        <is>
          <t>webgpu</t>
        </is>
      </c>
      <c r="E14" s="13" t="inlineStr">
        <is>
          <t>Frosted glass effect</t>
        </is>
      </c>
      <c r="F14" s="22" t="inlineStr">
        <is>
          <t>no</t>
        </is>
      </c>
      <c r="G14" s="24" t="n">
        <v>0.712</v>
      </c>
      <c r="H14" s="15" t="n">
        <v>1864</v>
      </c>
      <c r="I14" s="14" t="n">
        <v>2</v>
      </c>
      <c r="J14" s="14" t="n">
        <v>0</v>
      </c>
    </row>
    <row r="15">
      <c r="A15" s="4" t="inlineStr">
        <is>
          <t>run_045</t>
        </is>
      </c>
      <c r="B15" s="23" t="inlineStr">
        <is>
          <t>2026-04-06</t>
        </is>
      </c>
      <c r="C15" s="4" t="inlineStr">
        <is>
          <t>claude-sonnet-4-6</t>
        </is>
      </c>
      <c r="D15" s="32" t="inlineStr">
        <is>
          <t>webgpu</t>
        </is>
      </c>
      <c r="E15" s="4" t="inlineStr">
        <is>
          <t>Pixelate 8-bit mosaic</t>
        </is>
      </c>
      <c r="F15" s="23" t="inlineStr">
        <is>
          <t>no</t>
        </is>
      </c>
      <c r="G15" s="25" t="n">
        <v>0.798</v>
      </c>
      <c r="H15" s="15" t="n">
        <v>2044</v>
      </c>
      <c r="I15" s="5" t="n">
        <v>2</v>
      </c>
      <c r="J15" s="5" t="n">
        <v>0</v>
      </c>
    </row>
    <row r="16">
      <c r="A16" s="13" t="inlineStr">
        <is>
          <t>run_047</t>
        </is>
      </c>
      <c r="B16" s="22" t="inlineStr">
        <is>
          <t>2026-04-06</t>
        </is>
      </c>
      <c r="C16" s="13" t="inlineStr">
        <is>
          <t>claude-sonnet-4-6</t>
        </is>
      </c>
      <c r="D16" s="33" t="inlineStr">
        <is>
          <t>webgl</t>
        </is>
      </c>
      <c r="E16" s="13" t="inlineStr">
        <is>
          <t>Film grain warm grade</t>
        </is>
      </c>
      <c r="F16" s="22" t="inlineStr">
        <is>
          <t>no</t>
        </is>
      </c>
      <c r="G16" s="24" t="n">
        <v>0.834</v>
      </c>
      <c r="H16" s="15" t="n">
        <v>2200</v>
      </c>
      <c r="I16" s="14" t="n">
        <v>3</v>
      </c>
      <c r="J16" s="14" t="n">
        <v>0</v>
      </c>
    </row>
    <row r="17">
      <c r="A17" s="4" t="inlineStr">
        <is>
          <t>run_049</t>
        </is>
      </c>
      <c r="B17" s="23" t="inlineStr">
        <is>
          <t>2026-04-06</t>
        </is>
      </c>
      <c r="C17" s="4" t="inlineStr">
        <is>
          <t>claude-sonnet-4-6</t>
        </is>
      </c>
      <c r="D17" s="32" t="inlineStr">
        <is>
          <t>webgpu</t>
        </is>
      </c>
      <c r="E17" s="4" t="inlineStr">
        <is>
          <t>Glitch scanlines RGB split</t>
        </is>
      </c>
      <c r="F17" s="23" t="inlineStr">
        <is>
          <t>no</t>
        </is>
      </c>
      <c r="G17" s="25" t="n">
        <v>0.856</v>
      </c>
      <c r="H17" s="8" t="n">
        <v>2323</v>
      </c>
      <c r="I17" s="5" t="n">
        <v>3</v>
      </c>
      <c r="J17" s="5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4" customWidth="1" min="5" max="5"/>
    <col width="10" customWidth="1" min="6" max="6"/>
    <col width="22" customWidth="1" min="7" max="7"/>
    <col width="22" customWidth="1" min="8" max="8"/>
  </cols>
  <sheetData>
    <row r="1">
      <c r="A1" s="1" t="inlineStr">
        <is>
          <t>Cache Performance Summary — Daily Aggregates</t>
        </is>
      </c>
    </row>
    <row r="3" ht="36" customHeight="1">
      <c r="A3" s="2" t="inlineStr">
        <is>
          <t>Date</t>
        </is>
      </c>
      <c r="B3" s="2" t="inlineStr">
        <is>
          <t>Generation Type</t>
        </is>
      </c>
      <c r="C3" s="2" t="inlineStr">
        <is>
          <t>Total Requests</t>
        </is>
      </c>
      <c r="D3" s="2" t="inlineStr">
        <is>
          <t>Cache Hits</t>
        </is>
      </c>
      <c r="E3" s="2" t="inlineStr">
        <is>
          <t>Cache Misses</t>
        </is>
      </c>
      <c r="F3" s="2" t="inlineStr">
        <is>
          <t>Hit Rate</t>
        </is>
      </c>
      <c r="G3" s="2" t="inlineStr">
        <is>
          <t>Avg Latency — Hit (ms)</t>
        </is>
      </c>
      <c r="H3" s="2" t="inlineStr">
        <is>
          <t>Avg Latency — Miss (ms)</t>
        </is>
      </c>
    </row>
    <row r="4">
      <c r="A4" s="22" t="inlineStr">
        <is>
          <t>2026-04-01</t>
        </is>
      </c>
      <c r="B4" s="13" t="inlineStr">
        <is>
          <t>dsp</t>
        </is>
      </c>
      <c r="C4" s="14" t="n">
        <v>118</v>
      </c>
      <c r="D4" s="34" t="n">
        <v>43</v>
      </c>
      <c r="E4" s="14" t="n">
        <v>75</v>
      </c>
      <c r="F4" s="7" t="n">
        <v>0.364</v>
      </c>
      <c r="G4" s="15" t="n">
        <v>19</v>
      </c>
      <c r="H4" s="16" t="n">
        <v>2098</v>
      </c>
    </row>
    <row r="5">
      <c r="A5" s="23" t="inlineStr">
        <is>
          <t>2026-04-01</t>
        </is>
      </c>
      <c r="B5" s="4" t="inlineStr">
        <is>
          <t>shader</t>
        </is>
      </c>
      <c r="C5" s="5" t="n">
        <v>121</v>
      </c>
      <c r="D5" s="34" t="n">
        <v>39</v>
      </c>
      <c r="E5" s="5" t="n">
        <v>82</v>
      </c>
      <c r="F5" s="7" t="n">
        <v>0.322</v>
      </c>
      <c r="G5" s="15" t="n">
        <v>20</v>
      </c>
      <c r="H5" s="9" t="n">
        <v>2201</v>
      </c>
    </row>
    <row r="6">
      <c r="A6" s="22" t="inlineStr">
        <is>
          <t>2026-04-02</t>
        </is>
      </c>
      <c r="B6" s="13" t="inlineStr">
        <is>
          <t>dsp</t>
        </is>
      </c>
      <c r="C6" s="14" t="n">
        <v>161</v>
      </c>
      <c r="D6" s="34" t="n">
        <v>77</v>
      </c>
      <c r="E6" s="14" t="n">
        <v>84</v>
      </c>
      <c r="F6" s="7" t="n">
        <v>0.478</v>
      </c>
      <c r="G6" s="15" t="n">
        <v>18</v>
      </c>
      <c r="H6" s="16" t="n">
        <v>2034</v>
      </c>
    </row>
    <row r="7">
      <c r="A7" s="23" t="inlineStr">
        <is>
          <t>2026-04-02</t>
        </is>
      </c>
      <c r="B7" s="4" t="inlineStr">
        <is>
          <t>shader</t>
        </is>
      </c>
      <c r="C7" s="5" t="n">
        <v>170</v>
      </c>
      <c r="D7" s="34" t="n">
        <v>83</v>
      </c>
      <c r="E7" s="5" t="n">
        <v>87</v>
      </c>
      <c r="F7" s="7" t="n">
        <v>0.488</v>
      </c>
      <c r="G7" s="15" t="n">
        <v>19</v>
      </c>
      <c r="H7" s="9" t="n">
        <v>2156</v>
      </c>
    </row>
    <row r="8">
      <c r="A8" s="22" t="inlineStr">
        <is>
          <t>2026-04-03</t>
        </is>
      </c>
      <c r="B8" s="13" t="inlineStr">
        <is>
          <t>dsp</t>
        </is>
      </c>
      <c r="C8" s="14" t="n">
        <v>277</v>
      </c>
      <c r="D8" s="34" t="n">
        <v>157</v>
      </c>
      <c r="E8" s="14" t="n">
        <v>120</v>
      </c>
      <c r="F8" s="6" t="n">
        <v>0.5669999999999999</v>
      </c>
      <c r="G8" s="15" t="n">
        <v>17</v>
      </c>
      <c r="H8" s="16" t="n">
        <v>1978</v>
      </c>
    </row>
    <row r="9">
      <c r="A9" s="23" t="inlineStr">
        <is>
          <t>2026-04-03</t>
        </is>
      </c>
      <c r="B9" s="4" t="inlineStr">
        <is>
          <t>shader</t>
        </is>
      </c>
      <c r="C9" s="5" t="n">
        <v>288</v>
      </c>
      <c r="D9" s="34" t="n">
        <v>162</v>
      </c>
      <c r="E9" s="5" t="n">
        <v>126</v>
      </c>
      <c r="F9" s="6" t="n">
        <v>0.5629999999999999</v>
      </c>
      <c r="G9" s="15" t="n">
        <v>18</v>
      </c>
      <c r="H9" s="9" t="n">
        <v>2089</v>
      </c>
    </row>
    <row r="10">
      <c r="A10" s="22" t="inlineStr">
        <is>
          <t>2026-04-04</t>
        </is>
      </c>
      <c r="B10" s="13" t="inlineStr">
        <is>
          <t>dsp</t>
        </is>
      </c>
      <c r="C10" s="14" t="n">
        <v>381</v>
      </c>
      <c r="D10" s="34" t="n">
        <v>233</v>
      </c>
      <c r="E10" s="14" t="n">
        <v>148</v>
      </c>
      <c r="F10" s="6" t="n">
        <v>0.612</v>
      </c>
      <c r="G10" s="15" t="n">
        <v>16</v>
      </c>
      <c r="H10" s="16" t="n">
        <v>1912</v>
      </c>
    </row>
    <row r="11">
      <c r="A11" s="23" t="inlineStr">
        <is>
          <t>2026-04-04</t>
        </is>
      </c>
      <c r="B11" s="4" t="inlineStr">
        <is>
          <t>shader</t>
        </is>
      </c>
      <c r="C11" s="5" t="n">
        <v>396</v>
      </c>
      <c r="D11" s="34" t="n">
        <v>240</v>
      </c>
      <c r="E11" s="5" t="n">
        <v>156</v>
      </c>
      <c r="F11" s="6" t="n">
        <v>0.606</v>
      </c>
      <c r="G11" s="15" t="n">
        <v>17</v>
      </c>
      <c r="H11" s="9" t="n">
        <v>2034</v>
      </c>
    </row>
    <row r="12">
      <c r="A12" s="22" t="inlineStr">
        <is>
          <t>2026-04-05</t>
        </is>
      </c>
      <c r="B12" s="13" t="inlineStr">
        <is>
          <t>dsp</t>
        </is>
      </c>
      <c r="C12" s="14" t="n">
        <v>518</v>
      </c>
      <c r="D12" s="34" t="n">
        <v>324</v>
      </c>
      <c r="E12" s="14" t="n">
        <v>194</v>
      </c>
      <c r="F12" s="6" t="n">
        <v>0.625</v>
      </c>
      <c r="G12" s="15" t="n">
        <v>15</v>
      </c>
      <c r="H12" s="16" t="n">
        <v>1889</v>
      </c>
    </row>
    <row r="13">
      <c r="A13" s="23" t="inlineStr">
        <is>
          <t>2026-04-05</t>
        </is>
      </c>
      <c r="B13" s="4" t="inlineStr">
        <is>
          <t>shader</t>
        </is>
      </c>
      <c r="C13" s="5" t="n">
        <v>534</v>
      </c>
      <c r="D13" s="34" t="n">
        <v>334</v>
      </c>
      <c r="E13" s="5" t="n">
        <v>200</v>
      </c>
      <c r="F13" s="6" t="n">
        <v>0.626</v>
      </c>
      <c r="G13" s="15" t="n">
        <v>16</v>
      </c>
      <c r="H13" s="9" t="n">
        <v>2012</v>
      </c>
    </row>
    <row r="15">
      <c r="A15" s="19" t="inlineStr">
        <is>
          <t>5-Day Totals / Averages</t>
        </is>
      </c>
      <c r="B15" s="20" t="n"/>
      <c r="C15" s="35">
        <f>SUM(C4:C14)</f>
        <v/>
      </c>
      <c r="D15" s="35">
        <f>SUM(D4:D14)</f>
        <v/>
      </c>
      <c r="E15" s="35">
        <f>SUM(E4:E14)</f>
        <v/>
      </c>
      <c r="F15" s="6">
        <f>D15/C15</f>
        <v/>
      </c>
      <c r="G15" s="15">
        <f>AVERAGE(G4:G14)</f>
        <v/>
      </c>
      <c r="H15" s="36">
        <f>AVERAGE(H4:H14)</f>
        <v/>
      </c>
    </row>
  </sheetData>
  <mergeCells count="2">
    <mergeCell ref="A15:B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2026-05-17T03:05:05Z</dcterms:created>
  <dcterms:modified xmlns:dcterms="http://purl.org/dc/terms/" xmlns:xsi="http://www.w3.org/2001/XMLSchema-instance" xsi:type="dcterms:W3CDTF">2026-05-17T03:05:05Z</dcterms:modified>
</cp:coreProperties>
</file>